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5135" windowHeight="9045"/>
  </bookViews>
  <sheets>
    <sheet name="Basic" sheetId="5" r:id="rId1"/>
  </sheets>
  <functionGroups builtInGroupCount="17"/>
  <definedNames>
    <definedName name="Dividend">Basic!$B$12</definedName>
    <definedName name="RiskFreeRate">Basic!$B$11</definedName>
    <definedName name="StockPrice">Basic!$B$7</definedName>
    <definedName name="StrikePrice">Basic!$B$8</definedName>
    <definedName name="TimeToExpiry">Basic!$B$9</definedName>
    <definedName name="Volatility">Basic!$B$10</definedName>
  </definedNames>
  <calcPr calcId="145621"/>
</workbook>
</file>

<file path=xl/calcChain.xml><?xml version="1.0" encoding="utf-8"?>
<calcChain xmlns="http://schemas.openxmlformats.org/spreadsheetml/2006/main">
  <c r="F8" i="5" l="1"/>
  <c r="E10" i="5"/>
  <c r="F11" i="5"/>
  <c r="F7" i="5"/>
  <c r="E8" i="5"/>
  <c r="E12" i="5"/>
  <c r="F10" i="5"/>
  <c r="F12" i="5"/>
  <c r="F9" i="5"/>
  <c r="E11" i="5"/>
  <c r="E7" i="5"/>
  <c r="E9" i="5"/>
</calcChain>
</file>

<file path=xl/sharedStrings.xml><?xml version="1.0" encoding="utf-8"?>
<sst xmlns="http://schemas.openxmlformats.org/spreadsheetml/2006/main" count="19" uniqueCount="19">
  <si>
    <t>Risk Free Rate</t>
  </si>
  <si>
    <t>Delta</t>
  </si>
  <si>
    <t>Gamma</t>
  </si>
  <si>
    <t>Vega</t>
  </si>
  <si>
    <t>Theta</t>
  </si>
  <si>
    <t>Volatility</t>
  </si>
  <si>
    <t>Rho</t>
  </si>
  <si>
    <t>Call</t>
  </si>
  <si>
    <t>Dividend Yield</t>
  </si>
  <si>
    <t>Parameters</t>
  </si>
  <si>
    <t>Time To Expiry</t>
  </si>
  <si>
    <t>Stock Price</t>
  </si>
  <si>
    <t>Strike Price</t>
  </si>
  <si>
    <t>Option Price</t>
  </si>
  <si>
    <t>Put</t>
  </si>
  <si>
    <t>Results</t>
  </si>
  <si>
    <t>http://investexcel.net</t>
  </si>
  <si>
    <t>Black Scholes and Greeks in VBA</t>
  </si>
  <si>
    <t>The VBA is open and can be used in your own projects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</si>
</sst>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0"/>
  </numFmts>
  <fonts count="7" x14ac:knownFonts="1">
    <font>
      <sz val="10"/>
      <name val="Arial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24"/>
      <name val="Calibri"/>
      <family val="2"/>
      <scheme val="minor"/>
    </font>
    <font>
      <u/>
      <sz val="11"/>
      <color indexed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25">
    <xf numFmtId="0" fontId="0" fillId="0" borderId="0" xfId="0"/>
    <xf numFmtId="4" fontId="3" fillId="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3" fillId="0" borderId="0" xfId="0" applyFont="1" applyFill="1" applyBorder="1"/>
    <xf numFmtId="0" fontId="3" fillId="0" borderId="0" xfId="0" applyFont="1" applyFill="1" applyBorder="1" applyAlignment="1"/>
    <xf numFmtId="0" fontId="3" fillId="2" borderId="3" xfId="0" applyFont="1" applyFill="1" applyBorder="1"/>
    <xf numFmtId="0" fontId="3" fillId="2" borderId="4" xfId="0" applyFont="1" applyFill="1" applyBorder="1" applyAlignment="1"/>
    <xf numFmtId="0" fontId="3" fillId="2" borderId="5" xfId="0" applyFont="1" applyFill="1" applyBorder="1"/>
    <xf numFmtId="9" fontId="3" fillId="2" borderId="5" xfId="0" applyNumberFormat="1" applyFont="1" applyFill="1" applyBorder="1"/>
    <xf numFmtId="10" fontId="3" fillId="2" borderId="5" xfId="0" applyNumberFormat="1" applyFont="1" applyFill="1" applyBorder="1"/>
    <xf numFmtId="0" fontId="3" fillId="2" borderId="6" xfId="0" applyFont="1" applyFill="1" applyBorder="1" applyAlignment="1"/>
    <xf numFmtId="0" fontId="4" fillId="3" borderId="1" xfId="0" applyFont="1" applyFill="1" applyBorder="1" applyAlignment="1"/>
    <xf numFmtId="0" fontId="3" fillId="3" borderId="4" xfId="0" applyFont="1" applyFill="1" applyBorder="1" applyAlignment="1"/>
    <xf numFmtId="164" fontId="3" fillId="3" borderId="0" xfId="0" applyNumberFormat="1" applyFont="1" applyFill="1" applyBorder="1"/>
    <xf numFmtId="164" fontId="3" fillId="3" borderId="5" xfId="0" applyNumberFormat="1" applyFont="1" applyFill="1" applyBorder="1"/>
    <xf numFmtId="0" fontId="3" fillId="3" borderId="6" xfId="0" applyFont="1" applyFill="1" applyBorder="1" applyAlignment="1"/>
    <xf numFmtId="164" fontId="3" fillId="3" borderId="7" xfId="0" applyNumberFormat="1" applyFont="1" applyFill="1" applyBorder="1"/>
    <xf numFmtId="164" fontId="3" fillId="3" borderId="8" xfId="0" applyNumberFormat="1" applyFont="1" applyFill="1" applyBorder="1"/>
    <xf numFmtId="0" fontId="4" fillId="2" borderId="1" xfId="0" applyFont="1" applyFill="1" applyBorder="1"/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5" fillId="0" borderId="0" xfId="1" applyFont="1" applyFill="1" applyBorder="1" applyAlignment="1" applyProtection="1"/>
    <xf numFmtId="0" fontId="6" fillId="0" borderId="0" xfId="1" applyFont="1" applyFill="1" applyBorder="1" applyAlignment="1" applyProtection="1"/>
    <xf numFmtId="0" fontId="3" fillId="2" borderId="5" xfId="0" applyNumberFormat="1" applyFont="1" applyFill="1" applyBorder="1"/>
    <xf numFmtId="10" fontId="3" fillId="2" borderId="8" xfId="0" applyNumberFormat="1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investexcel.ne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1"/>
  <sheetViews>
    <sheetView showGridLines="0" tabSelected="1" workbookViewId="0">
      <selection activeCell="J17" sqref="J17"/>
    </sheetView>
  </sheetViews>
  <sheetFormatPr defaultRowHeight="15.75" customHeight="1" x14ac:dyDescent="0.25"/>
  <cols>
    <col min="1" max="1" width="18.7109375" style="3" customWidth="1"/>
    <col min="2" max="2" width="9" style="2" customWidth="1"/>
    <col min="3" max="3" width="3.42578125" style="3" customWidth="1"/>
    <col min="4" max="4" width="12" style="3" customWidth="1"/>
    <col min="5" max="16384" width="9.140625" style="3"/>
  </cols>
  <sheetData>
    <row r="1" spans="1:7" ht="29.25" customHeight="1" x14ac:dyDescent="0.5">
      <c r="A1" s="21" t="s">
        <v>17</v>
      </c>
    </row>
    <row r="2" spans="1:7" ht="15.75" customHeight="1" x14ac:dyDescent="0.25">
      <c r="A2" s="22" t="s">
        <v>16</v>
      </c>
    </row>
    <row r="3" spans="1:7" ht="15.75" customHeight="1" x14ac:dyDescent="0.25">
      <c r="B3" s="3"/>
    </row>
    <row r="4" spans="1:7" ht="15.75" customHeight="1" x14ac:dyDescent="0.25">
      <c r="A4" s="3" t="s">
        <v>18</v>
      </c>
      <c r="B4" s="3"/>
    </row>
    <row r="5" spans="1:7" ht="15.75" customHeight="1" thickBot="1" x14ac:dyDescent="0.3">
      <c r="B5" s="3"/>
    </row>
    <row r="6" spans="1:7" ht="15.75" customHeight="1" x14ac:dyDescent="0.25">
      <c r="A6" s="18" t="s">
        <v>9</v>
      </c>
      <c r="B6" s="5"/>
      <c r="D6" s="11" t="s">
        <v>15</v>
      </c>
      <c r="E6" s="19" t="s">
        <v>7</v>
      </c>
      <c r="F6" s="20" t="s">
        <v>14</v>
      </c>
    </row>
    <row r="7" spans="1:7" ht="15.75" customHeight="1" x14ac:dyDescent="0.25">
      <c r="A7" s="6" t="s">
        <v>11</v>
      </c>
      <c r="B7" s="7">
        <v>50</v>
      </c>
      <c r="D7" s="12" t="s">
        <v>13</v>
      </c>
      <c r="E7" s="13">
        <f>optionPrice("C",StockPrice,StrikePrice,TimeToExpiry,RiskFreeRate,Volatility,Dividend)</f>
        <v>0.15884212825716304</v>
      </c>
      <c r="F7" s="14">
        <f>optionPrice("P",StockPrice,StrikePrice,TimeToExpiry,RiskFreeRate,Volatility,Dividend)</f>
        <v>14.227868143572437</v>
      </c>
    </row>
    <row r="8" spans="1:7" ht="15.75" customHeight="1" x14ac:dyDescent="0.25">
      <c r="A8" s="6" t="s">
        <v>12</v>
      </c>
      <c r="B8" s="7">
        <v>65</v>
      </c>
      <c r="D8" s="12" t="s">
        <v>1</v>
      </c>
      <c r="E8" s="13">
        <f>OptionDelta("C",StockPrice,StrikePrice,TimeToExpiry,RiskFreeRate,Volatility,Dividend)</f>
        <v>5.3980208864776266E-2</v>
      </c>
      <c r="F8" s="14">
        <f>OptionDelta("P",StockPrice,StrikePrice,TimeToExpiry,RiskFreeRate,Volatility,Dividend)</f>
        <v>-0.94601979113522372</v>
      </c>
    </row>
    <row r="9" spans="1:7" ht="15.75" customHeight="1" x14ac:dyDescent="0.25">
      <c r="A9" s="6" t="s">
        <v>10</v>
      </c>
      <c r="B9" s="23">
        <v>1</v>
      </c>
      <c r="D9" s="12" t="s">
        <v>2</v>
      </c>
      <c r="E9" s="13">
        <f>Gamma(StockPrice,StrikePrice,TimeToExpiry,RiskFreeRate,Volatility,Dividend)</f>
        <v>1.4614302124605799E-2</v>
      </c>
      <c r="F9" s="14">
        <f>Gamma(StockPrice,StrikePrice,TimeToExpiry,RiskFreeRate,Volatility,Dividend)</f>
        <v>1.4614302124605799E-2</v>
      </c>
    </row>
    <row r="10" spans="1:7" ht="15.75" customHeight="1" x14ac:dyDescent="0.25">
      <c r="A10" s="6" t="s">
        <v>5</v>
      </c>
      <c r="B10" s="8">
        <v>0.15</v>
      </c>
      <c r="D10" s="12" t="s">
        <v>4</v>
      </c>
      <c r="E10" s="13">
        <f>OptionTheta("C",StockPrice,StrikePrice,TimeToExpiry,RiskFreeRate,Volatility,Dividend)</f>
        <v>-9.2171374638668532E-4</v>
      </c>
      <c r="F10" s="14">
        <f>OptionTheta("P",StockPrice,StrikePrice,TimeToExpiry,RiskFreeRate,Volatility,Dividend)</f>
        <v>-6.1062857749335101E-3</v>
      </c>
    </row>
    <row r="11" spans="1:7" ht="15.75" customHeight="1" x14ac:dyDescent="0.25">
      <c r="A11" s="6" t="s">
        <v>0</v>
      </c>
      <c r="B11" s="9">
        <v>0.03</v>
      </c>
      <c r="D11" s="12" t="s">
        <v>3</v>
      </c>
      <c r="E11" s="13">
        <f>vega(StockPrice,StrikePrice,TimeToExpiry,RiskFreeRate,Volatility,Dividend)</f>
        <v>5.4803632967271747E-2</v>
      </c>
      <c r="F11" s="14">
        <f>vega(StockPrice,StrikePrice,TimeToExpiry,RiskFreeRate,Volatility,Dividend)</f>
        <v>5.4803632967271747E-2</v>
      </c>
      <c r="G11" s="1"/>
    </row>
    <row r="12" spans="1:7" ht="15.75" customHeight="1" thickBot="1" x14ac:dyDescent="0.3">
      <c r="A12" s="10" t="s">
        <v>8</v>
      </c>
      <c r="B12" s="24">
        <v>0.02</v>
      </c>
      <c r="C12" s="1"/>
      <c r="D12" s="15" t="s">
        <v>6</v>
      </c>
      <c r="E12" s="16">
        <f>OptionRho("C",StockPrice,StrikePrice,TimeToExpiry,RiskFreeRate,Volatility,Dividend)</f>
        <v>2.4867243274465996E-2</v>
      </c>
      <c r="F12" s="17">
        <f>OptionRho("P",StockPrice,StrikePrice,TimeToExpiry,RiskFreeRate,Volatility,Dividend)</f>
        <v>-0.60592235353206436</v>
      </c>
    </row>
    <row r="13" spans="1:7" ht="15.75" customHeight="1" x14ac:dyDescent="0.25">
      <c r="B13" s="3"/>
    </row>
    <row r="14" spans="1:7" ht="15.75" customHeight="1" x14ac:dyDescent="0.25">
      <c r="A14" s="4"/>
      <c r="B14" s="3"/>
    </row>
    <row r="15" spans="1:7" ht="15.75" customHeight="1" x14ac:dyDescent="0.25">
      <c r="B15" s="3"/>
    </row>
    <row r="16" spans="1:7" ht="15.75" customHeight="1" x14ac:dyDescent="0.25">
      <c r="B16" s="3"/>
      <c r="E16" s="1"/>
    </row>
    <row r="17" spans="2:2" ht="15.75" customHeight="1" x14ac:dyDescent="0.25">
      <c r="B17" s="3"/>
    </row>
    <row r="18" spans="2:2" ht="15.75" customHeight="1" x14ac:dyDescent="0.25">
      <c r="B18" s="3"/>
    </row>
    <row r="19" spans="2:2" ht="15.75" customHeight="1" x14ac:dyDescent="0.25">
      <c r="B19" s="3"/>
    </row>
    <row r="20" spans="2:2" ht="15.75" customHeight="1" x14ac:dyDescent="0.25">
      <c r="B20" s="3"/>
    </row>
    <row r="21" spans="2:2" ht="15.75" customHeight="1" x14ac:dyDescent="0.25">
      <c r="B21" s="3"/>
    </row>
  </sheetData>
  <phoneticPr fontId="1" type="noConversion"/>
  <hyperlinks>
    <hyperlink ref="A2" r:id="rId1"/>
  </hyperlinks>
  <pageMargins left="0.75" right="0.75" top="1" bottom="1" header="0.5" footer="0.5"/>
  <pageSetup paperSize="9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Basic</vt:lpstr>
      <vt:lpstr>Dividend</vt:lpstr>
      <vt:lpstr>RiskFreeRate</vt:lpstr>
      <vt:lpstr>StockPrice</vt:lpstr>
      <vt:lpstr>StrikePrice</vt:lpstr>
      <vt:lpstr>TimeToExpiry</vt:lpstr>
      <vt:lpstr>Volatility</vt:lpstr>
    </vt:vector>
  </TitlesOfParts>
  <Company>www.OptionTradingTips.com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Samir</cp:lastModifiedBy>
  <dcterms:created xsi:type="dcterms:W3CDTF">2004-07-13T06:23:33Z</dcterms:created>
  <dcterms:modified xsi:type="dcterms:W3CDTF">2012-06-09T14:02:15Z</dcterms:modified>
</cp:coreProperties>
</file>